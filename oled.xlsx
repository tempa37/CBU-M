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space_stm32\USK_M_MX_1\"/>
    </mc:Choice>
  </mc:AlternateContent>
  <xr:revisionPtr revIDLastSave="0" documentId="13_ncr:1_{0F9E324E-B5FD-42CB-9CE5-65B0E425ACD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2" i="1" l="1"/>
  <c r="P52" i="1"/>
  <c r="P51" i="1"/>
  <c r="O52" i="1"/>
  <c r="N52" i="1"/>
  <c r="K52" i="1"/>
  <c r="K53" i="1"/>
  <c r="H52" i="1"/>
  <c r="H51" i="1"/>
  <c r="H50" i="1"/>
  <c r="O34" i="1" l="1"/>
  <c r="I52" i="1"/>
  <c r="M52" i="1" s="1"/>
  <c r="L62" i="1"/>
  <c r="Z48" i="1"/>
  <c r="T48" i="1"/>
  <c r="Z24" i="1"/>
  <c r="T25" i="1"/>
  <c r="Z23" i="1"/>
  <c r="Z46" i="1"/>
  <c r="Z45" i="1"/>
  <c r="Z47" i="1"/>
  <c r="I51" i="1"/>
  <c r="I50" i="1"/>
  <c r="M50" i="1" s="1"/>
  <c r="H49" i="1"/>
  <c r="I49" i="1" s="1"/>
  <c r="H48" i="1"/>
  <c r="I48" i="1" s="1"/>
  <c r="T47" i="1"/>
  <c r="H47" i="1"/>
  <c r="I47" i="1" s="1"/>
  <c r="T46" i="1"/>
  <c r="H46" i="1"/>
  <c r="I46" i="1" s="1"/>
  <c r="M46" i="1" s="1"/>
  <c r="T45" i="1"/>
  <c r="H45" i="1"/>
  <c r="I45" i="1" s="1"/>
  <c r="G45" i="1"/>
  <c r="P44" i="1" s="1"/>
  <c r="Z44" i="1"/>
  <c r="Y44" i="1"/>
  <c r="AA44" i="1" s="1"/>
  <c r="AB44" i="1" s="1"/>
  <c r="T44" i="1"/>
  <c r="S44" i="1"/>
  <c r="U44" i="1" s="1"/>
  <c r="N44" i="1"/>
  <c r="H44" i="1"/>
  <c r="I44" i="1" s="1"/>
  <c r="Z22" i="1"/>
  <c r="L34" i="1"/>
  <c r="U22" i="1"/>
  <c r="T22" i="1"/>
  <c r="T23" i="1"/>
  <c r="T24" i="1"/>
  <c r="K36" i="1"/>
  <c r="J36" i="1"/>
  <c r="I36" i="1"/>
  <c r="G22" i="1"/>
  <c r="G23" i="1" s="1"/>
  <c r="S22" i="1"/>
  <c r="G24" i="1" l="1"/>
  <c r="Y23" i="1"/>
  <c r="AA23" i="1" s="1"/>
  <c r="AB23" i="1" s="1"/>
  <c r="Y22" i="1"/>
  <c r="AA22" i="1" s="1"/>
  <c r="AB22" i="1"/>
  <c r="V44" i="1"/>
  <c r="K45" i="1"/>
  <c r="O45" i="1" s="1"/>
  <c r="M45" i="1"/>
  <c r="M48" i="1"/>
  <c r="K48" i="1"/>
  <c r="O48" i="1" s="1"/>
  <c r="M51" i="1"/>
  <c r="K51" i="1"/>
  <c r="O51" i="1" s="1"/>
  <c r="K44" i="1"/>
  <c r="O44" i="1" s="1"/>
  <c r="M44" i="1"/>
  <c r="K49" i="1"/>
  <c r="O49" i="1" s="1"/>
  <c r="M49" i="1"/>
  <c r="M47" i="1"/>
  <c r="K47" i="1"/>
  <c r="O47" i="1" s="1"/>
  <c r="K46" i="1"/>
  <c r="O46" i="1" s="1"/>
  <c r="K50" i="1"/>
  <c r="O50" i="1" s="1"/>
  <c r="N45" i="1"/>
  <c r="S45" i="1"/>
  <c r="Y45" i="1"/>
  <c r="G46" i="1"/>
  <c r="Y46" i="1" s="1"/>
  <c r="AA46" i="1" s="1"/>
  <c r="AB46" i="1" s="1"/>
  <c r="G25" i="1" l="1"/>
  <c r="Y24" i="1"/>
  <c r="AA24" i="1" s="1"/>
  <c r="AB24" i="1" s="1"/>
  <c r="Q44" i="1"/>
  <c r="U45" i="1"/>
  <c r="V45" i="1" s="1"/>
  <c r="G47" i="1"/>
  <c r="Y47" i="1" s="1"/>
  <c r="AA47" i="1" s="1"/>
  <c r="AB47" i="1" s="1"/>
  <c r="S46" i="1"/>
  <c r="N46" i="1"/>
  <c r="P45" i="1"/>
  <c r="AA45" i="1"/>
  <c r="AB45" i="1" s="1"/>
  <c r="Q45" i="1"/>
  <c r="G26" i="1" l="1"/>
  <c r="G27" i="1" s="1"/>
  <c r="G28" i="1" s="1"/>
  <c r="G29" i="1" s="1"/>
  <c r="G30" i="1" s="1"/>
  <c r="S25" i="1"/>
  <c r="U25" i="1" s="1"/>
  <c r="V25" i="1" s="1"/>
  <c r="U46" i="1"/>
  <c r="V46" i="1" s="1"/>
  <c r="G48" i="1"/>
  <c r="S47" i="1"/>
  <c r="N47" i="1"/>
  <c r="P46" i="1"/>
  <c r="Q46" i="1" s="1"/>
  <c r="S48" i="1" l="1"/>
  <c r="U48" i="1" s="1"/>
  <c r="V48" i="1" s="1"/>
  <c r="Y48" i="1"/>
  <c r="Q47" i="1"/>
  <c r="U47" i="1"/>
  <c r="V47" i="1" s="1"/>
  <c r="P47" i="1"/>
  <c r="G49" i="1"/>
  <c r="N48" i="1"/>
  <c r="AA48" i="1" l="1"/>
  <c r="AB48" i="1"/>
  <c r="P48" i="1"/>
  <c r="Q48" i="1" s="1"/>
  <c r="G50" i="1"/>
  <c r="N49" i="1"/>
  <c r="P49" i="1" l="1"/>
  <c r="Q49" i="1" s="1"/>
  <c r="G51" i="1"/>
  <c r="N50" i="1"/>
  <c r="G52" i="1" l="1"/>
  <c r="N51" i="1"/>
  <c r="P50" i="1"/>
  <c r="Q50" i="1" s="1"/>
  <c r="Y21" i="1"/>
  <c r="Z21" i="1"/>
  <c r="T21" i="1"/>
  <c r="Q51" i="1" l="1"/>
  <c r="G53" i="1"/>
  <c r="AA21" i="1"/>
  <c r="AB21" i="1" s="1"/>
  <c r="H22" i="1"/>
  <c r="H23" i="1"/>
  <c r="I23" i="1" s="1"/>
  <c r="K23" i="1" s="1"/>
  <c r="H24" i="1"/>
  <c r="I24" i="1" s="1"/>
  <c r="K24" i="1" s="1"/>
  <c r="H25" i="1"/>
  <c r="I25" i="1" s="1"/>
  <c r="K25" i="1" s="1"/>
  <c r="H26" i="1"/>
  <c r="I26" i="1" s="1"/>
  <c r="K26" i="1" s="1"/>
  <c r="H27" i="1"/>
  <c r="I27" i="1" s="1"/>
  <c r="K27" i="1" s="1"/>
  <c r="H28" i="1"/>
  <c r="I28" i="1" s="1"/>
  <c r="K28" i="1" s="1"/>
  <c r="H21" i="1"/>
  <c r="I21" i="1" s="1"/>
  <c r="K21" i="1" s="1"/>
  <c r="I22" i="1" l="1"/>
  <c r="K22" i="1" s="1"/>
  <c r="O22" i="1" s="1"/>
  <c r="O10" i="2"/>
  <c r="O16" i="2"/>
  <c r="O19" i="2"/>
  <c r="O20" i="2"/>
  <c r="O23" i="2"/>
  <c r="O24" i="2"/>
  <c r="O27" i="2"/>
  <c r="O28" i="2"/>
  <c r="N16" i="2"/>
  <c r="N17" i="2"/>
  <c r="O17" i="2" s="1"/>
  <c r="N18" i="2"/>
  <c r="O18" i="2" s="1"/>
  <c r="N19" i="2"/>
  <c r="N20" i="2"/>
  <c r="N21" i="2"/>
  <c r="O21" i="2" s="1"/>
  <c r="N22" i="2"/>
  <c r="O22" i="2" s="1"/>
  <c r="N23" i="2"/>
  <c r="N24" i="2"/>
  <c r="N25" i="2"/>
  <c r="O25" i="2" s="1"/>
  <c r="N26" i="2"/>
  <c r="O26" i="2" s="1"/>
  <c r="N27" i="2"/>
  <c r="N28" i="2"/>
  <c r="N29" i="2"/>
  <c r="O29" i="2" s="1"/>
  <c r="N15" i="2"/>
  <c r="O15" i="2" s="1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15" i="2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15" i="2"/>
  <c r="G15" i="2" s="1"/>
  <c r="P28" i="1"/>
  <c r="M28" i="1"/>
  <c r="O27" i="1"/>
  <c r="N27" i="1"/>
  <c r="M26" i="1"/>
  <c r="M21" i="1"/>
  <c r="S21" i="1"/>
  <c r="U21" i="1" s="1"/>
  <c r="N21" i="1"/>
  <c r="T7" i="1"/>
  <c r="T8" i="1"/>
  <c r="I10" i="1"/>
  <c r="M10" i="1" s="1"/>
  <c r="T6" i="1"/>
  <c r="T5" i="1"/>
  <c r="U5" i="1"/>
  <c r="S5" i="1"/>
  <c r="I9" i="1"/>
  <c r="M9" i="1" s="1"/>
  <c r="I8" i="1"/>
  <c r="M8" i="1" s="1"/>
  <c r="I7" i="1"/>
  <c r="M7" i="1" s="1"/>
  <c r="P5" i="1"/>
  <c r="N5" i="1"/>
  <c r="K6" i="1"/>
  <c r="O6" i="1" s="1"/>
  <c r="I6" i="1"/>
  <c r="M6" i="1" s="1"/>
  <c r="I5" i="1"/>
  <c r="K5" i="1" s="1"/>
  <c r="O5" i="1" s="1"/>
  <c r="G6" i="1"/>
  <c r="G7" i="1" s="1"/>
  <c r="N7" i="1" l="1"/>
  <c r="G8" i="1"/>
  <c r="S7" i="1"/>
  <c r="U7" i="1" s="1"/>
  <c r="P6" i="1"/>
  <c r="M5" i="1"/>
  <c r="K7" i="1"/>
  <c r="O7" i="1" s="1"/>
  <c r="N6" i="1"/>
  <c r="S6" i="1"/>
  <c r="U6" i="1" s="1"/>
  <c r="K10" i="1"/>
  <c r="O10" i="1" s="1"/>
  <c r="K9" i="1"/>
  <c r="O9" i="1" s="1"/>
  <c r="K8" i="1"/>
  <c r="O8" i="1" s="1"/>
  <c r="V21" i="1"/>
  <c r="M22" i="1"/>
  <c r="M23" i="1"/>
  <c r="O26" i="1"/>
  <c r="O28" i="1"/>
  <c r="M27" i="1"/>
  <c r="O21" i="1"/>
  <c r="N22" i="1"/>
  <c r="M24" i="1"/>
  <c r="O25" i="1"/>
  <c r="O24" i="1"/>
  <c r="P21" i="1"/>
  <c r="N23" i="1"/>
  <c r="O23" i="1"/>
  <c r="M25" i="1"/>
  <c r="S8" i="1" l="1"/>
  <c r="U8" i="1" s="1"/>
  <c r="P7" i="1"/>
  <c r="N8" i="1"/>
  <c r="G9" i="1"/>
  <c r="N28" i="1"/>
  <c r="Q28" i="1" s="1"/>
  <c r="P27" i="1"/>
  <c r="Q27" i="1" s="1"/>
  <c r="Q21" i="1"/>
  <c r="V22" i="1"/>
  <c r="S23" i="1"/>
  <c r="U23" i="1" s="1"/>
  <c r="P22" i="1"/>
  <c r="Q22" i="1" s="1"/>
  <c r="N24" i="1"/>
  <c r="P23" i="1"/>
  <c r="Q23" i="1" s="1"/>
  <c r="S24" i="1"/>
  <c r="U24" i="1" s="1"/>
  <c r="P8" i="1" l="1"/>
  <c r="N9" i="1"/>
  <c r="G10" i="1"/>
  <c r="V24" i="1"/>
  <c r="V23" i="1"/>
  <c r="N25" i="1"/>
  <c r="P24" i="1"/>
  <c r="Q24" i="1" s="1"/>
  <c r="N10" i="1" l="1"/>
  <c r="P9" i="1"/>
  <c r="G11" i="1"/>
  <c r="P10" i="1" s="1"/>
  <c r="P26" i="1"/>
  <c r="P25" i="1"/>
  <c r="Q25" i="1" s="1"/>
  <c r="N26" i="1"/>
  <c r="Q26" i="1" l="1"/>
</calcChain>
</file>

<file path=xl/sharedStrings.xml><?xml version="1.0" encoding="utf-8"?>
<sst xmlns="http://schemas.openxmlformats.org/spreadsheetml/2006/main" count="39" uniqueCount="34">
  <si>
    <t>UMVHid:</t>
  </si>
  <si>
    <t>URMid:</t>
  </si>
  <si>
    <t>OutMinIdR:</t>
  </si>
  <si>
    <t>OutMaxIdR:</t>
  </si>
  <si>
    <t>InId:</t>
  </si>
  <si>
    <t>Value:</t>
  </si>
  <si>
    <t>A</t>
  </si>
  <si>
    <t>B</t>
  </si>
  <si>
    <t>C</t>
  </si>
  <si>
    <t>ВхId:</t>
  </si>
  <si>
    <t>Значение:</t>
  </si>
  <si>
    <t>ПорогМин:</t>
  </si>
  <si>
    <t>ПорогМак:</t>
  </si>
  <si>
    <t>T=</t>
  </si>
  <si>
    <t>Давление</t>
  </si>
  <si>
    <t>Pв</t>
  </si>
  <si>
    <t>норма</t>
  </si>
  <si>
    <t>низкое</t>
  </si>
  <si>
    <t>ошибка</t>
  </si>
  <si>
    <t>вкл</t>
  </si>
  <si>
    <t>отк</t>
  </si>
  <si>
    <t>пожаротушение</t>
  </si>
  <si>
    <t>порог</t>
  </si>
  <si>
    <t>Конвейер</t>
  </si>
  <si>
    <t>Пожаротушение</t>
  </si>
  <si>
    <t>P:</t>
  </si>
  <si>
    <t>T0=</t>
  </si>
  <si>
    <t>Камера</t>
  </si>
  <si>
    <t>Конвейер 1</t>
  </si>
  <si>
    <t>Температура</t>
  </si>
  <si>
    <t>Порог</t>
  </si>
  <si>
    <t>Местный режим</t>
  </si>
  <si>
    <t>Источник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</si>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</sst>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"/>
    <numFmt numFmtId="166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Лист2!$F$15:$F$35</c:f>
              <c:numCache>
                <c:formatCode>General</c:formatCode>
                <c:ptCount val="21"/>
                <c:pt idx="0">
                  <c:v>4.4073868576649069</c:v>
                </c:pt>
                <c:pt idx="1">
                  <c:v>5.3732609432758434</c:v>
                </c:pt>
                <c:pt idx="2">
                  <c:v>6.1726573593310041</c:v>
                </c:pt>
                <c:pt idx="3">
                  <c:v>6.899110685237785</c:v>
                </c:pt>
                <c:pt idx="4">
                  <c:v>7.6515165863061494</c:v>
                </c:pt>
                <c:pt idx="5">
                  <c:v>8.5370144017618603</c:v>
                </c:pt>
                <c:pt idx="6">
                  <c:v>9.5788053657499859</c:v>
                </c:pt>
                <c:pt idx="7">
                  <c:v>10.907164110090131</c:v>
                </c:pt>
                <c:pt idx="8">
                  <c:v>12.035989804036365</c:v>
                </c:pt>
                <c:pt idx="9">
                  <c:v>13.286963940774971</c:v>
                </c:pt>
                <c:pt idx="10">
                  <c:v>14.260449322586005</c:v>
                </c:pt>
                <c:pt idx="11">
                  <c:v>16.019584405337135</c:v>
                </c:pt>
                <c:pt idx="12">
                  <c:v>17.125339928674652</c:v>
                </c:pt>
                <c:pt idx="13">
                  <c:v>14.324128385263084</c:v>
                </c:pt>
                <c:pt idx="14">
                  <c:v>15.416165207268993</c:v>
                </c:pt>
                <c:pt idx="15">
                  <c:v>16.473295368034645</c:v>
                </c:pt>
                <c:pt idx="16">
                  <c:v>17.15475070188737</c:v>
                </c:pt>
                <c:pt idx="17">
                  <c:v>17.953018224409572</c:v>
                </c:pt>
                <c:pt idx="18">
                  <c:v>18.614606287298372</c:v>
                </c:pt>
                <c:pt idx="19">
                  <c:v>19.432772942190283</c:v>
                </c:pt>
              </c:numCache>
            </c:numRef>
          </c:xVal>
          <c:yVal>
            <c:numRef>
              <c:f>Лист2!$E$15:$E$35</c:f>
              <c:numCache>
                <c:formatCode>General</c:formatCode>
                <c:ptCount val="21"/>
                <c:pt idx="0">
                  <c:v>244</c:v>
                </c:pt>
                <c:pt idx="1">
                  <c:v>452</c:v>
                </c:pt>
                <c:pt idx="2">
                  <c:v>602</c:v>
                </c:pt>
                <c:pt idx="3">
                  <c:v>720</c:v>
                </c:pt>
                <c:pt idx="4">
                  <c:v>826</c:v>
                </c:pt>
                <c:pt idx="5">
                  <c:v>933</c:v>
                </c:pt>
                <c:pt idx="6">
                  <c:v>1039</c:v>
                </c:pt>
                <c:pt idx="7">
                  <c:v>1150</c:v>
                </c:pt>
                <c:pt idx="8">
                  <c:v>1228</c:v>
                </c:pt>
                <c:pt idx="9">
                  <c:v>1301</c:v>
                </c:pt>
                <c:pt idx="10">
                  <c:v>1350</c:v>
                </c:pt>
                <c:pt idx="11">
                  <c:v>1425</c:v>
                </c:pt>
                <c:pt idx="12">
                  <c:v>1465</c:v>
                </c:pt>
                <c:pt idx="13">
                  <c:v>1353</c:v>
                </c:pt>
                <c:pt idx="14">
                  <c:v>1401</c:v>
                </c:pt>
                <c:pt idx="15">
                  <c:v>1442</c:v>
                </c:pt>
                <c:pt idx="16">
                  <c:v>1466</c:v>
                </c:pt>
                <c:pt idx="17">
                  <c:v>1492</c:v>
                </c:pt>
                <c:pt idx="18">
                  <c:v>1512</c:v>
                </c:pt>
                <c:pt idx="19">
                  <c:v>1535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A0-4194-8871-E8465009300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Лист2!$B$15:$B$38</c:f>
              <c:numCache>
                <c:formatCode>General</c:formatCode>
                <c:ptCount val="24"/>
                <c:pt idx="0">
                  <c:v>4.09</c:v>
                </c:pt>
                <c:pt idx="1">
                  <c:v>5.04</c:v>
                </c:pt>
                <c:pt idx="2">
                  <c:v>6.04</c:v>
                </c:pt>
                <c:pt idx="3">
                  <c:v>7.09</c:v>
                </c:pt>
                <c:pt idx="4">
                  <c:v>8.0399999999999991</c:v>
                </c:pt>
                <c:pt idx="5">
                  <c:v>9.0399999999999991</c:v>
                </c:pt>
                <c:pt idx="6">
                  <c:v>10.01</c:v>
                </c:pt>
                <c:pt idx="7">
                  <c:v>11.17</c:v>
                </c:pt>
                <c:pt idx="8">
                  <c:v>12.16</c:v>
                </c:pt>
                <c:pt idx="9">
                  <c:v>13.1</c:v>
                </c:pt>
                <c:pt idx="10">
                  <c:v>14.12</c:v>
                </c:pt>
                <c:pt idx="11">
                  <c:v>15.54</c:v>
                </c:pt>
                <c:pt idx="12">
                  <c:v>16.77</c:v>
                </c:pt>
                <c:pt idx="13">
                  <c:v>17.41</c:v>
                </c:pt>
                <c:pt idx="15">
                  <c:v>20.29</c:v>
                </c:pt>
              </c:numCache>
            </c:numRef>
          </c:xVal>
          <c:yVal>
            <c:numRef>
              <c:f>Лист2!$C$15:$C$38</c:f>
              <c:numCache>
                <c:formatCode>General</c:formatCode>
                <c:ptCount val="24"/>
                <c:pt idx="0">
                  <c:v>244</c:v>
                </c:pt>
                <c:pt idx="1">
                  <c:v>452</c:v>
                </c:pt>
                <c:pt idx="2">
                  <c:v>602</c:v>
                </c:pt>
                <c:pt idx="3">
                  <c:v>720</c:v>
                </c:pt>
                <c:pt idx="4">
                  <c:v>826</c:v>
                </c:pt>
                <c:pt idx="5">
                  <c:v>933</c:v>
                </c:pt>
                <c:pt idx="6">
                  <c:v>1039</c:v>
                </c:pt>
                <c:pt idx="7">
                  <c:v>1150</c:v>
                </c:pt>
                <c:pt idx="8">
                  <c:v>1228</c:v>
                </c:pt>
                <c:pt idx="9">
                  <c:v>1301</c:v>
                </c:pt>
                <c:pt idx="10">
                  <c:v>1350</c:v>
                </c:pt>
                <c:pt idx="11">
                  <c:v>1425</c:v>
                </c:pt>
                <c:pt idx="12">
                  <c:v>1465</c:v>
                </c:pt>
                <c:pt idx="13">
                  <c:v>1482</c:v>
                </c:pt>
                <c:pt idx="15">
                  <c:v>1536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A0-4194-8871-E84650093008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Лист2!$B$3:$B$9</c:f>
              <c:numCache>
                <c:formatCode>General</c:formatCode>
                <c:ptCount val="7"/>
                <c:pt idx="0">
                  <c:v>14.02</c:v>
                </c:pt>
                <c:pt idx="1">
                  <c:v>15.06</c:v>
                </c:pt>
                <c:pt idx="2">
                  <c:v>15.95</c:v>
                </c:pt>
                <c:pt idx="3">
                  <c:v>16.940000000000001</c:v>
                </c:pt>
                <c:pt idx="4">
                  <c:v>18.04</c:v>
                </c:pt>
                <c:pt idx="5">
                  <c:v>19.04</c:v>
                </c:pt>
                <c:pt idx="6">
                  <c:v>20.05</c:v>
                </c:pt>
              </c:numCache>
            </c:numRef>
          </c:xVal>
          <c:yVal>
            <c:numRef>
              <c:f>Лист2!$C$3:$C$9</c:f>
              <c:numCache>
                <c:formatCode>General</c:formatCode>
                <c:ptCount val="7"/>
                <c:pt idx="0">
                  <c:v>1353</c:v>
                </c:pt>
                <c:pt idx="1">
                  <c:v>1401</c:v>
                </c:pt>
                <c:pt idx="2">
                  <c:v>1442</c:v>
                </c:pt>
                <c:pt idx="3">
                  <c:v>1466</c:v>
                </c:pt>
                <c:pt idx="4">
                  <c:v>1492</c:v>
                </c:pt>
                <c:pt idx="5">
                  <c:v>1512</c:v>
                </c:pt>
                <c:pt idx="6">
                  <c:v>1535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A0-4194-8871-E84650093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258512"/>
        <c:axId val="355260808"/>
      </c:scatterChart>
      <c:valAx>
        <c:axId val="35525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260808"/>
        <c:crosses val="autoZero"/>
        <c:crossBetween val="midCat"/>
      </c:valAx>
      <c:valAx>
        <c:axId val="35526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25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532457734281194"/>
                  <c:y val="-1.46666666666666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Лист2!$I$2:$I$6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</c:numCache>
            </c:numRef>
          </c:xVal>
          <c:yVal>
            <c:numRef>
              <c:f>Лист2!$J$2:$J$6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67-481D-A19D-B1E6F4F99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659552"/>
        <c:axId val="440666440"/>
      </c:scatterChart>
      <c:valAx>
        <c:axId val="44065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666440"/>
        <c:crosses val="autoZero"/>
        <c:crossBetween val="midCat"/>
      </c:valAx>
      <c:valAx>
        <c:axId val="44066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65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Лист2!$K$15:$K$29</c:f>
              <c:numCache>
                <c:formatCode>General</c:formatCode>
                <c:ptCount val="15"/>
                <c:pt idx="0">
                  <c:v>244</c:v>
                </c:pt>
                <c:pt idx="1">
                  <c:v>452</c:v>
                </c:pt>
                <c:pt idx="2">
                  <c:v>602</c:v>
                </c:pt>
                <c:pt idx="3">
                  <c:v>720</c:v>
                </c:pt>
                <c:pt idx="4">
                  <c:v>826</c:v>
                </c:pt>
                <c:pt idx="5">
                  <c:v>933</c:v>
                </c:pt>
                <c:pt idx="6">
                  <c:v>1039</c:v>
                </c:pt>
                <c:pt idx="7">
                  <c:v>1150</c:v>
                </c:pt>
                <c:pt idx="8">
                  <c:v>1228</c:v>
                </c:pt>
                <c:pt idx="9">
                  <c:v>1301</c:v>
                </c:pt>
                <c:pt idx="10">
                  <c:v>1350</c:v>
                </c:pt>
                <c:pt idx="11">
                  <c:v>1425</c:v>
                </c:pt>
                <c:pt idx="12">
                  <c:v>1465</c:v>
                </c:pt>
                <c:pt idx="13">
                  <c:v>1482</c:v>
                </c:pt>
                <c:pt idx="14">
                  <c:v>1536</c:v>
                </c:pt>
              </c:numCache>
            </c:numRef>
          </c:xVal>
          <c:yVal>
            <c:numRef>
              <c:f>Лист2!$I$15:$I$29</c:f>
              <c:numCache>
                <c:formatCode>0.000</c:formatCode>
                <c:ptCount val="15"/>
                <c:pt idx="0">
                  <c:v>0.5625</c:v>
                </c:pt>
                <c:pt idx="1">
                  <c:v>6.5</c:v>
                </c:pt>
                <c:pt idx="2">
                  <c:v>12.75</c:v>
                </c:pt>
                <c:pt idx="3">
                  <c:v>19.3125</c:v>
                </c:pt>
                <c:pt idx="4">
                  <c:v>25.249999999999993</c:v>
                </c:pt>
                <c:pt idx="5">
                  <c:v>31.499999999999993</c:v>
                </c:pt>
                <c:pt idx="6">
                  <c:v>37.5625</c:v>
                </c:pt>
                <c:pt idx="7">
                  <c:v>44.8125</c:v>
                </c:pt>
                <c:pt idx="8">
                  <c:v>51</c:v>
                </c:pt>
                <c:pt idx="9">
                  <c:v>56.875</c:v>
                </c:pt>
                <c:pt idx="10">
                  <c:v>63.25</c:v>
                </c:pt>
                <c:pt idx="11">
                  <c:v>72.125</c:v>
                </c:pt>
                <c:pt idx="12">
                  <c:v>79.8125</c:v>
                </c:pt>
                <c:pt idx="13">
                  <c:v>83.8125</c:v>
                </c:pt>
                <c:pt idx="14">
                  <c:v>101.8125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49-478E-981A-C0C53349A7C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Лист2!$M$15:$M$29</c:f>
              <c:numCache>
                <c:formatCode>General</c:formatCode>
                <c:ptCount val="15"/>
                <c:pt idx="0">
                  <c:v>244</c:v>
                </c:pt>
                <c:pt idx="1">
                  <c:v>452</c:v>
                </c:pt>
                <c:pt idx="2">
                  <c:v>602</c:v>
                </c:pt>
                <c:pt idx="3">
                  <c:v>720</c:v>
                </c:pt>
                <c:pt idx="4">
                  <c:v>826</c:v>
                </c:pt>
                <c:pt idx="5">
                  <c:v>933</c:v>
                </c:pt>
                <c:pt idx="6">
                  <c:v>1039</c:v>
                </c:pt>
                <c:pt idx="7">
                  <c:v>1150</c:v>
                </c:pt>
                <c:pt idx="8">
                  <c:v>1228</c:v>
                </c:pt>
                <c:pt idx="9">
                  <c:v>1301</c:v>
                </c:pt>
                <c:pt idx="10">
                  <c:v>1350</c:v>
                </c:pt>
                <c:pt idx="11">
                  <c:v>1425</c:v>
                </c:pt>
                <c:pt idx="12">
                  <c:v>1465</c:v>
                </c:pt>
                <c:pt idx="13">
                  <c:v>1482</c:v>
                </c:pt>
                <c:pt idx="14">
                  <c:v>1536</c:v>
                </c:pt>
              </c:numCache>
            </c:numRef>
          </c:xVal>
          <c:yVal>
            <c:numRef>
              <c:f>Лист2!$N$15:$N$29</c:f>
              <c:numCache>
                <c:formatCode>General</c:formatCode>
                <c:ptCount val="15"/>
                <c:pt idx="0">
                  <c:v>1.2763563851731743</c:v>
                </c:pt>
                <c:pt idx="1">
                  <c:v>5.3219233009156417</c:v>
                </c:pt>
                <c:pt idx="2">
                  <c:v>10.342744945866571</c:v>
                </c:pt>
                <c:pt idx="3">
                  <c:v>15.665569936132488</c:v>
                </c:pt>
                <c:pt idx="4">
                  <c:v>21.544224056838765</c:v>
                </c:pt>
                <c:pt idx="5">
                  <c:v>28.581432636153888</c:v>
                </c:pt>
                <c:pt idx="6">
                  <c:v>36.689262494681223</c:v>
                </c:pt>
                <c:pt idx="7">
                  <c:v>46.435562804827811</c:v>
                </c:pt>
                <c:pt idx="8">
                  <c:v>54.07582882108774</c:v>
                </c:pt>
                <c:pt idx="9">
                  <c:v>61.832489153212705</c:v>
                </c:pt>
                <c:pt idx="10">
                  <c:v>67.37341970518959</c:v>
                </c:pt>
                <c:pt idx="11">
                  <c:v>76.383058953533549</c:v>
                </c:pt>
                <c:pt idx="12">
                  <c:v>81.45302219027522</c:v>
                </c:pt>
                <c:pt idx="13">
                  <c:v>83.664098146534243</c:v>
                </c:pt>
                <c:pt idx="14">
                  <c:v>90.912250972073338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49-478E-981A-C0C53349A7C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Лист2!$M$15:$M$29</c:f>
              <c:numCache>
                <c:formatCode>General</c:formatCode>
                <c:ptCount val="15"/>
                <c:pt idx="0">
                  <c:v>244</c:v>
                </c:pt>
                <c:pt idx="1">
                  <c:v>452</c:v>
                </c:pt>
                <c:pt idx="2">
                  <c:v>602</c:v>
                </c:pt>
                <c:pt idx="3">
                  <c:v>720</c:v>
                </c:pt>
                <c:pt idx="4">
                  <c:v>826</c:v>
                </c:pt>
                <c:pt idx="5">
                  <c:v>933</c:v>
                </c:pt>
                <c:pt idx="6">
                  <c:v>1039</c:v>
                </c:pt>
                <c:pt idx="7">
                  <c:v>1150</c:v>
                </c:pt>
                <c:pt idx="8">
                  <c:v>1228</c:v>
                </c:pt>
                <c:pt idx="9">
                  <c:v>1301</c:v>
                </c:pt>
                <c:pt idx="10">
                  <c:v>1350</c:v>
                </c:pt>
                <c:pt idx="11">
                  <c:v>1425</c:v>
                </c:pt>
                <c:pt idx="12">
                  <c:v>1465</c:v>
                </c:pt>
                <c:pt idx="13">
                  <c:v>1482</c:v>
                </c:pt>
                <c:pt idx="14">
                  <c:v>1536</c:v>
                </c:pt>
              </c:numCache>
            </c:numRef>
          </c:xVal>
          <c:yVal>
            <c:numRef>
              <c:f>Лист2!$O$15:$O$29</c:f>
              <c:numCache>
                <c:formatCode>General</c:formatCode>
                <c:ptCount val="1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16</c:v>
                </c:pt>
                <c:pt idx="4">
                  <c:v>22</c:v>
                </c:pt>
                <c:pt idx="5">
                  <c:v>29</c:v>
                </c:pt>
                <c:pt idx="6">
                  <c:v>37</c:v>
                </c:pt>
                <c:pt idx="7">
                  <c:v>46</c:v>
                </c:pt>
                <c:pt idx="8">
                  <c:v>54</c:v>
                </c:pt>
                <c:pt idx="9">
                  <c:v>62</c:v>
                </c:pt>
                <c:pt idx="10">
                  <c:v>67</c:v>
                </c:pt>
                <c:pt idx="11">
                  <c:v>76</c:v>
                </c:pt>
                <c:pt idx="12">
                  <c:v>81</c:v>
                </c:pt>
                <c:pt idx="13">
                  <c:v>84</c:v>
                </c:pt>
                <c:pt idx="14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49-478E-981A-C0C53349A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240944"/>
        <c:axId val="453241272"/>
      </c:scatterChart>
      <c:valAx>
        <c:axId val="45324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3241272"/>
        <c:crosses val="autoZero"/>
        <c:crossBetween val="midCat"/>
      </c:valAx>
      <c:valAx>
        <c:axId val="45324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324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9524</xdr:colOff>
      <xdr:row>0</xdr:row>
      <xdr:rowOff>152399</xdr:rowOff>
    </xdr:from>
    <xdr:to>
      <xdr:col>25</xdr:col>
      <xdr:colOff>466725</xdr:colOff>
      <xdr:row>21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361950</xdr:colOff>
      <xdr:row>0</xdr:row>
      <xdr:rowOff>19050</xdr:rowOff>
    </xdr:from>
    <xdr:to>
      <xdr:col>8</xdr:col>
      <xdr:colOff>276225</xdr:colOff>
      <xdr:row>9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561974</xdr:colOff>
      <xdr:row>10</xdr:row>
      <xdr:rowOff>28575</xdr:rowOff>
    </xdr:from>
    <xdr:to>
      <xdr:col>27</xdr:col>
      <xdr:colOff>266699</xdr:colOff>
      <xdr:row>35</xdr:row>
      <xdr:rowOff>104775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AB62"/>
  <sheetViews>
    <sheetView tabSelected="1" topLeftCell="D34" workbookViewId="0">
      <selection activeCell="Q51" sqref="Q51:Q52"/>
    </sheetView>
  </sheetViews>
  <sheetFormatPr defaultRowHeight="15" x14ac:dyDescent="0.25"/>
  <cols>
    <col min="5" max="5" width="11.42578125" bestFit="1" customWidth="1"/>
    <col min="17" max="17" width="20.7109375" customWidth="1"/>
    <col min="18" max="18" width="6.7109375" customWidth="1"/>
    <col min="19" max="19" width="6" customWidth="1"/>
    <col min="20" max="20" width="6.85546875" customWidth="1"/>
    <col min="21" max="21" width="6.28515625" customWidth="1"/>
    <col min="22" max="22" width="17.7109375" customWidth="1"/>
    <col min="28" max="28" width="19.140625" customWidth="1"/>
  </cols>
  <sheetData>
    <row r="5" spans="5:21" x14ac:dyDescent="0.25">
      <c r="E5" t="s">
        <v>0</v>
      </c>
      <c r="G5">
        <v>0</v>
      </c>
      <c r="H5">
        <v>7</v>
      </c>
      <c r="I5">
        <f t="shared" ref="I5:I10" si="0">H5*7</f>
        <v>49</v>
      </c>
      <c r="J5">
        <v>3</v>
      </c>
      <c r="K5">
        <f t="shared" ref="K5:K10" si="1">J5*7+I5</f>
        <v>70</v>
      </c>
      <c r="M5">
        <f t="shared" ref="M5:M10" si="2">I5</f>
        <v>49</v>
      </c>
      <c r="N5">
        <f t="shared" ref="N5:N10" si="3">G5</f>
        <v>0</v>
      </c>
      <c r="O5">
        <f t="shared" ref="O5:O10" si="4">K5</f>
        <v>70</v>
      </c>
      <c r="P5">
        <f t="shared" ref="P5:P10" si="5">G6</f>
        <v>13</v>
      </c>
      <c r="R5">
        <v>72</v>
      </c>
      <c r="S5">
        <f>G5+3</f>
        <v>3</v>
      </c>
      <c r="T5">
        <f t="shared" ref="T5:U8" si="6">R5+6</f>
        <v>78</v>
      </c>
      <c r="U5">
        <f t="shared" si="6"/>
        <v>9</v>
      </c>
    </row>
    <row r="6" spans="5:21" x14ac:dyDescent="0.25">
      <c r="E6" t="s">
        <v>1</v>
      </c>
      <c r="G6">
        <f t="shared" ref="G6:G11" si="7">G5+12+1</f>
        <v>13</v>
      </c>
      <c r="H6">
        <v>6</v>
      </c>
      <c r="I6">
        <f t="shared" si="0"/>
        <v>42</v>
      </c>
      <c r="J6">
        <v>3</v>
      </c>
      <c r="K6">
        <f t="shared" si="1"/>
        <v>63</v>
      </c>
      <c r="M6">
        <f t="shared" si="2"/>
        <v>42</v>
      </c>
      <c r="N6">
        <f t="shared" si="3"/>
        <v>13</v>
      </c>
      <c r="O6">
        <f t="shared" si="4"/>
        <v>63</v>
      </c>
      <c r="P6">
        <f t="shared" si="5"/>
        <v>26</v>
      </c>
      <c r="R6">
        <v>72</v>
      </c>
      <c r="S6">
        <f>G6+3</f>
        <v>16</v>
      </c>
      <c r="T6">
        <f t="shared" si="6"/>
        <v>78</v>
      </c>
      <c r="U6">
        <f t="shared" si="6"/>
        <v>22</v>
      </c>
    </row>
    <row r="7" spans="5:21" x14ac:dyDescent="0.25">
      <c r="E7" t="s">
        <v>2</v>
      </c>
      <c r="G7">
        <f t="shared" si="7"/>
        <v>26</v>
      </c>
      <c r="H7">
        <v>10</v>
      </c>
      <c r="I7">
        <f t="shared" si="0"/>
        <v>70</v>
      </c>
      <c r="J7">
        <v>1</v>
      </c>
      <c r="K7">
        <f t="shared" si="1"/>
        <v>77</v>
      </c>
      <c r="M7">
        <f t="shared" si="2"/>
        <v>70</v>
      </c>
      <c r="N7">
        <f t="shared" si="3"/>
        <v>26</v>
      </c>
      <c r="O7">
        <f t="shared" si="4"/>
        <v>77</v>
      </c>
      <c r="P7">
        <f t="shared" si="5"/>
        <v>39</v>
      </c>
      <c r="R7">
        <v>79</v>
      </c>
      <c r="S7">
        <f>G7+3</f>
        <v>29</v>
      </c>
      <c r="T7">
        <f t="shared" si="6"/>
        <v>85</v>
      </c>
      <c r="U7">
        <f t="shared" si="6"/>
        <v>35</v>
      </c>
    </row>
    <row r="8" spans="5:21" x14ac:dyDescent="0.25">
      <c r="E8" t="s">
        <v>3</v>
      </c>
      <c r="G8">
        <f t="shared" si="7"/>
        <v>39</v>
      </c>
      <c r="H8">
        <v>10</v>
      </c>
      <c r="I8">
        <f t="shared" si="0"/>
        <v>70</v>
      </c>
      <c r="J8">
        <v>1</v>
      </c>
      <c r="K8">
        <f t="shared" si="1"/>
        <v>77</v>
      </c>
      <c r="M8">
        <f t="shared" si="2"/>
        <v>70</v>
      </c>
      <c r="N8">
        <f t="shared" si="3"/>
        <v>39</v>
      </c>
      <c r="O8">
        <f t="shared" si="4"/>
        <v>77</v>
      </c>
      <c r="P8">
        <f t="shared" si="5"/>
        <v>52</v>
      </c>
      <c r="R8">
        <v>79</v>
      </c>
      <c r="S8">
        <f>G8+3</f>
        <v>42</v>
      </c>
      <c r="T8">
        <f t="shared" si="6"/>
        <v>85</v>
      </c>
      <c r="U8">
        <f t="shared" si="6"/>
        <v>48</v>
      </c>
    </row>
    <row r="9" spans="5:21" x14ac:dyDescent="0.25">
      <c r="E9" t="s">
        <v>4</v>
      </c>
      <c r="G9">
        <f t="shared" si="7"/>
        <v>52</v>
      </c>
      <c r="H9">
        <v>5</v>
      </c>
      <c r="I9">
        <f t="shared" si="0"/>
        <v>35</v>
      </c>
      <c r="J9">
        <v>1</v>
      </c>
      <c r="K9">
        <f t="shared" si="1"/>
        <v>42</v>
      </c>
      <c r="M9">
        <f t="shared" si="2"/>
        <v>35</v>
      </c>
      <c r="N9">
        <f t="shared" si="3"/>
        <v>52</v>
      </c>
      <c r="O9">
        <f t="shared" si="4"/>
        <v>42</v>
      </c>
      <c r="P9">
        <f t="shared" si="5"/>
        <v>65</v>
      </c>
    </row>
    <row r="10" spans="5:21" x14ac:dyDescent="0.25">
      <c r="E10" t="s">
        <v>5</v>
      </c>
      <c r="G10">
        <f t="shared" si="7"/>
        <v>65</v>
      </c>
      <c r="H10">
        <v>6</v>
      </c>
      <c r="I10">
        <f t="shared" si="0"/>
        <v>42</v>
      </c>
      <c r="J10">
        <v>3</v>
      </c>
      <c r="K10">
        <f t="shared" si="1"/>
        <v>63</v>
      </c>
      <c r="M10">
        <f t="shared" si="2"/>
        <v>42</v>
      </c>
      <c r="N10">
        <f t="shared" si="3"/>
        <v>65</v>
      </c>
      <c r="O10">
        <f t="shared" si="4"/>
        <v>63</v>
      </c>
      <c r="P10">
        <f t="shared" si="5"/>
        <v>78</v>
      </c>
    </row>
    <row r="11" spans="5:21" x14ac:dyDescent="0.25">
      <c r="G11">
        <f t="shared" si="7"/>
        <v>78</v>
      </c>
    </row>
    <row r="20" spans="5:28" x14ac:dyDescent="0.25">
      <c r="G20">
        <v>12</v>
      </c>
      <c r="I20">
        <v>7</v>
      </c>
      <c r="T20">
        <v>6</v>
      </c>
      <c r="U20">
        <v>6</v>
      </c>
      <c r="Z20">
        <v>6</v>
      </c>
      <c r="AA20">
        <v>6</v>
      </c>
    </row>
    <row r="21" spans="5:28" x14ac:dyDescent="0.25">
      <c r="E21" t="s">
        <v>26</v>
      </c>
      <c r="G21">
        <v>0</v>
      </c>
      <c r="H21">
        <f>LEN(E21)</f>
        <v>3</v>
      </c>
      <c r="I21">
        <f>H21*$I$20</f>
        <v>21</v>
      </c>
      <c r="J21">
        <v>5</v>
      </c>
      <c r="K21">
        <f>J21*$I$20+I21</f>
        <v>56</v>
      </c>
      <c r="M21">
        <f>I21</f>
        <v>21</v>
      </c>
      <c r="N21">
        <f>G21</f>
        <v>0</v>
      </c>
      <c r="O21">
        <f>K21</f>
        <v>56</v>
      </c>
      <c r="P21">
        <f>G22</f>
        <v>13</v>
      </c>
      <c r="Q21" s="5" t="str">
        <f>M21&amp;", "&amp;N21&amp;", "&amp;O21&amp;", "&amp;P21</f>
        <v>21, 0, 56, 13</v>
      </c>
      <c r="R21">
        <v>106</v>
      </c>
      <c r="S21">
        <f>G21+3</f>
        <v>3</v>
      </c>
      <c r="T21">
        <f>R21+$T$20</f>
        <v>112</v>
      </c>
      <c r="U21">
        <f>S21+$U$20</f>
        <v>9</v>
      </c>
      <c r="V21" s="5" t="str">
        <f>R21&amp;", "&amp;S21&amp;", "&amp;T21&amp;", "&amp;U21</f>
        <v>106, 3, 112, 9</v>
      </c>
      <c r="X21">
        <v>115</v>
      </c>
      <c r="Y21">
        <f>G21+3</f>
        <v>3</v>
      </c>
      <c r="Z21">
        <f>X21+$T$20</f>
        <v>121</v>
      </c>
      <c r="AA21">
        <f>Y21+$U$20</f>
        <v>9</v>
      </c>
      <c r="AB21" s="5" t="str">
        <f>X21&amp;", "&amp;Y21&amp;", "&amp;Z21&amp;", "&amp;AA21</f>
        <v>115, 3, 121, 9</v>
      </c>
    </row>
    <row r="22" spans="5:28" x14ac:dyDescent="0.25">
      <c r="E22" t="s">
        <v>23</v>
      </c>
      <c r="G22">
        <f>G21+$G$20+1</f>
        <v>13</v>
      </c>
      <c r="H22">
        <f t="shared" ref="H22:H28" si="8">LEN(E22)</f>
        <v>8</v>
      </c>
      <c r="I22">
        <f t="shared" ref="I22:I28" si="9">H22*$I$20</f>
        <v>56</v>
      </c>
      <c r="J22">
        <v>0</v>
      </c>
      <c r="K22">
        <f t="shared" ref="K22:K28" si="10">J22*$I$20+I22</f>
        <v>56</v>
      </c>
      <c r="M22">
        <f t="shared" ref="M22:M28" si="11">I22</f>
        <v>56</v>
      </c>
      <c r="N22">
        <f t="shared" ref="N22:N28" si="12">G22</f>
        <v>13</v>
      </c>
      <c r="O22">
        <f t="shared" ref="O22:O28" si="13">K22</f>
        <v>56</v>
      </c>
      <c r="P22">
        <f t="shared" ref="P22:P28" si="14">G23</f>
        <v>26</v>
      </c>
      <c r="Q22" s="5" t="str">
        <f t="shared" ref="Q22:Q28" si="15">M22&amp;", "&amp;N22&amp;", "&amp;O22&amp;", "&amp;P22</f>
        <v>56, 13, 56, 26</v>
      </c>
      <c r="R22">
        <v>106</v>
      </c>
      <c r="S22">
        <f>G22+3</f>
        <v>16</v>
      </c>
      <c r="T22">
        <f>R22+$T$20</f>
        <v>112</v>
      </c>
      <c r="U22">
        <f>S22+$U$20</f>
        <v>22</v>
      </c>
      <c r="V22" s="5" t="str">
        <f>R22&amp;", "&amp;S22&amp;", "&amp;T22&amp;", "&amp;U22</f>
        <v>106, 16, 112, 22</v>
      </c>
      <c r="X22">
        <v>115</v>
      </c>
      <c r="Y22">
        <f>G22+3</f>
        <v>16</v>
      </c>
      <c r="Z22">
        <f>X22+$T$20</f>
        <v>121</v>
      </c>
      <c r="AA22">
        <f>Y22+$U$20</f>
        <v>22</v>
      </c>
      <c r="AB22" s="5" t="str">
        <f>X22&amp;", "&amp;Y22&amp;", "&amp;Z22&amp;", "&amp;AA22</f>
        <v>115, 16, 121, 22</v>
      </c>
    </row>
    <row r="23" spans="5:28" x14ac:dyDescent="0.25">
      <c r="E23" t="s">
        <v>24</v>
      </c>
      <c r="G23">
        <f t="shared" ref="G23:G30" si="16">G22+$G$20+1</f>
        <v>26</v>
      </c>
      <c r="H23">
        <f t="shared" si="8"/>
        <v>13</v>
      </c>
      <c r="I23">
        <f t="shared" si="9"/>
        <v>91</v>
      </c>
      <c r="J23">
        <v>0</v>
      </c>
      <c r="K23">
        <f t="shared" si="10"/>
        <v>91</v>
      </c>
      <c r="M23">
        <f t="shared" si="11"/>
        <v>91</v>
      </c>
      <c r="N23">
        <f t="shared" si="12"/>
        <v>26</v>
      </c>
      <c r="O23">
        <f t="shared" si="13"/>
        <v>91</v>
      </c>
      <c r="P23">
        <f t="shared" si="14"/>
        <v>39</v>
      </c>
      <c r="Q23" s="5" t="str">
        <f t="shared" si="15"/>
        <v>91, 26, 91, 39</v>
      </c>
      <c r="R23">
        <v>106</v>
      </c>
      <c r="S23">
        <f>G23+3</f>
        <v>29</v>
      </c>
      <c r="T23">
        <f>R23+$T$20</f>
        <v>112</v>
      </c>
      <c r="U23">
        <f>S23+$U$20</f>
        <v>35</v>
      </c>
      <c r="V23" s="5" t="str">
        <f>R23&amp;", "&amp;S23&amp;", "&amp;T23&amp;", "&amp;U23</f>
        <v>106, 29, 112, 35</v>
      </c>
      <c r="X23">
        <v>115</v>
      </c>
      <c r="Y23">
        <f>G23+3</f>
        <v>29</v>
      </c>
      <c r="Z23">
        <f>X23+$T$20</f>
        <v>121</v>
      </c>
      <c r="AA23">
        <f>Y23+$U$20</f>
        <v>35</v>
      </c>
      <c r="AB23" s="5" t="str">
        <f>X23&amp;", "&amp;Y23&amp;", "&amp;Z23&amp;", "&amp;AA23</f>
        <v>115, 29, 121, 35</v>
      </c>
    </row>
    <row r="24" spans="5:28" x14ac:dyDescent="0.25">
      <c r="E24" t="s">
        <v>25</v>
      </c>
      <c r="G24">
        <f t="shared" si="16"/>
        <v>39</v>
      </c>
      <c r="H24">
        <f t="shared" si="8"/>
        <v>2</v>
      </c>
      <c r="I24">
        <f t="shared" si="9"/>
        <v>14</v>
      </c>
      <c r="J24">
        <v>6</v>
      </c>
      <c r="K24">
        <f t="shared" si="10"/>
        <v>56</v>
      </c>
      <c r="M24">
        <f t="shared" si="11"/>
        <v>14</v>
      </c>
      <c r="N24">
        <f t="shared" si="12"/>
        <v>39</v>
      </c>
      <c r="O24">
        <f t="shared" si="13"/>
        <v>56</v>
      </c>
      <c r="P24">
        <f t="shared" si="14"/>
        <v>52</v>
      </c>
      <c r="Q24" s="5" t="str">
        <f t="shared" si="15"/>
        <v>14, 39, 56, 52</v>
      </c>
      <c r="R24">
        <v>106</v>
      </c>
      <c r="S24">
        <f>G24+3</f>
        <v>42</v>
      </c>
      <c r="T24">
        <f>R24+$T$20</f>
        <v>112</v>
      </c>
      <c r="U24">
        <f>S24+$U$20</f>
        <v>48</v>
      </c>
      <c r="V24" s="5" t="str">
        <f>R24&amp;", "&amp;S24&amp;", "&amp;T24&amp;", "&amp;U24</f>
        <v>106, 42, 112, 48</v>
      </c>
      <c r="X24">
        <v>115</v>
      </c>
      <c r="Y24">
        <f>G24+3</f>
        <v>42</v>
      </c>
      <c r="Z24">
        <f>X24+$T$20</f>
        <v>121</v>
      </c>
      <c r="AA24">
        <f>Y24+$U$20</f>
        <v>48</v>
      </c>
      <c r="AB24" s="5" t="str">
        <f>X24&amp;", "&amp;Y24&amp;", "&amp;Z24&amp;", "&amp;AA24</f>
        <v>115, 42, 121, 48</v>
      </c>
    </row>
    <row r="25" spans="5:28" x14ac:dyDescent="0.25">
      <c r="E25" t="s">
        <v>9</v>
      </c>
      <c r="G25">
        <f t="shared" si="16"/>
        <v>52</v>
      </c>
      <c r="H25">
        <f t="shared" si="8"/>
        <v>5</v>
      </c>
      <c r="I25">
        <f t="shared" si="9"/>
        <v>35</v>
      </c>
      <c r="J25">
        <v>1</v>
      </c>
      <c r="K25">
        <f t="shared" si="10"/>
        <v>42</v>
      </c>
      <c r="M25">
        <f t="shared" si="11"/>
        <v>35</v>
      </c>
      <c r="N25">
        <f t="shared" si="12"/>
        <v>52</v>
      </c>
      <c r="O25">
        <f t="shared" si="13"/>
        <v>42</v>
      </c>
      <c r="P25">
        <f t="shared" si="14"/>
        <v>65</v>
      </c>
      <c r="Q25" s="5" t="str">
        <f t="shared" si="15"/>
        <v>35, 52, 42, 65</v>
      </c>
      <c r="R25">
        <v>106</v>
      </c>
      <c r="S25">
        <f>G25+3</f>
        <v>55</v>
      </c>
      <c r="T25">
        <f>R25+$T$20</f>
        <v>112</v>
      </c>
      <c r="U25">
        <f>S25+$U$20</f>
        <v>61</v>
      </c>
      <c r="V25" s="5" t="str">
        <f>R25&amp;", "&amp;S25&amp;", "&amp;T25&amp;", "&amp;U25</f>
        <v>106, 55, 112, 61</v>
      </c>
    </row>
    <row r="26" spans="5:28" x14ac:dyDescent="0.25">
      <c r="E26" t="s">
        <v>10</v>
      </c>
      <c r="G26">
        <f t="shared" si="16"/>
        <v>65</v>
      </c>
      <c r="H26">
        <f t="shared" si="8"/>
        <v>9</v>
      </c>
      <c r="I26">
        <f t="shared" si="9"/>
        <v>63</v>
      </c>
      <c r="J26">
        <v>3</v>
      </c>
      <c r="K26">
        <f t="shared" si="10"/>
        <v>84</v>
      </c>
      <c r="M26">
        <f t="shared" si="11"/>
        <v>63</v>
      </c>
      <c r="N26">
        <f t="shared" si="12"/>
        <v>65</v>
      </c>
      <c r="O26">
        <f t="shared" si="13"/>
        <v>84</v>
      </c>
      <c r="P26">
        <f t="shared" si="14"/>
        <v>78</v>
      </c>
      <c r="Q26" s="5" t="str">
        <f t="shared" si="15"/>
        <v>63, 65, 84, 78</v>
      </c>
    </row>
    <row r="27" spans="5:28" x14ac:dyDescent="0.25">
      <c r="E27" t="s">
        <v>11</v>
      </c>
      <c r="G27">
        <f t="shared" si="16"/>
        <v>78</v>
      </c>
      <c r="H27">
        <f t="shared" si="8"/>
        <v>9</v>
      </c>
      <c r="I27">
        <f t="shared" si="9"/>
        <v>63</v>
      </c>
      <c r="J27">
        <v>3</v>
      </c>
      <c r="K27">
        <f t="shared" si="10"/>
        <v>84</v>
      </c>
      <c r="M27">
        <f t="shared" si="11"/>
        <v>63</v>
      </c>
      <c r="N27">
        <f t="shared" si="12"/>
        <v>78</v>
      </c>
      <c r="O27">
        <f t="shared" si="13"/>
        <v>84</v>
      </c>
      <c r="P27">
        <f t="shared" si="14"/>
        <v>91</v>
      </c>
      <c r="Q27" s="5" t="str">
        <f t="shared" si="15"/>
        <v>63, 78, 84, 91</v>
      </c>
    </row>
    <row r="28" spans="5:28" x14ac:dyDescent="0.25">
      <c r="E28" t="s">
        <v>12</v>
      </c>
      <c r="G28">
        <f t="shared" si="16"/>
        <v>91</v>
      </c>
      <c r="H28">
        <f t="shared" si="8"/>
        <v>9</v>
      </c>
      <c r="I28">
        <f t="shared" si="9"/>
        <v>63</v>
      </c>
      <c r="J28">
        <v>3</v>
      </c>
      <c r="K28">
        <f t="shared" si="10"/>
        <v>84</v>
      </c>
      <c r="M28">
        <f t="shared" si="11"/>
        <v>63</v>
      </c>
      <c r="N28">
        <f t="shared" si="12"/>
        <v>91</v>
      </c>
      <c r="O28">
        <f t="shared" si="13"/>
        <v>84</v>
      </c>
      <c r="P28">
        <f t="shared" si="14"/>
        <v>104</v>
      </c>
      <c r="Q28" s="5" t="str">
        <f t="shared" si="15"/>
        <v>63, 91, 84, 104</v>
      </c>
    </row>
    <row r="29" spans="5:28" x14ac:dyDescent="0.25">
      <c r="G29">
        <f t="shared" si="16"/>
        <v>104</v>
      </c>
    </row>
    <row r="30" spans="5:28" x14ac:dyDescent="0.25">
      <c r="G30">
        <f t="shared" si="16"/>
        <v>117</v>
      </c>
    </row>
    <row r="32" spans="5:28" x14ac:dyDescent="0.25">
      <c r="L32">
        <v>8</v>
      </c>
    </row>
    <row r="33" spans="4:28" x14ac:dyDescent="0.25">
      <c r="L33">
        <v>7</v>
      </c>
    </row>
    <row r="34" spans="4:28" x14ac:dyDescent="0.25">
      <c r="E34" t="s">
        <v>13</v>
      </c>
      <c r="F34" s="4">
        <v>120</v>
      </c>
      <c r="H34" t="s">
        <v>22</v>
      </c>
      <c r="I34">
        <v>1</v>
      </c>
      <c r="L34">
        <f>L33*L32</f>
        <v>56</v>
      </c>
      <c r="O34">
        <f>112+14</f>
        <v>126</v>
      </c>
    </row>
    <row r="35" spans="4:28" x14ac:dyDescent="0.25">
      <c r="E35" t="s">
        <v>23</v>
      </c>
      <c r="F35" t="s">
        <v>19</v>
      </c>
      <c r="G35" t="s">
        <v>20</v>
      </c>
    </row>
    <row r="36" spans="4:28" x14ac:dyDescent="0.25">
      <c r="E36" t="s">
        <v>21</v>
      </c>
      <c r="G36" t="s">
        <v>19</v>
      </c>
      <c r="I36">
        <f>LEN(E36)</f>
        <v>13</v>
      </c>
      <c r="J36">
        <f>LEN(G36)</f>
        <v>3</v>
      </c>
      <c r="K36">
        <f>(I36+J36)*7</f>
        <v>112</v>
      </c>
    </row>
    <row r="37" spans="4:28" x14ac:dyDescent="0.25">
      <c r="E37" t="s">
        <v>15</v>
      </c>
      <c r="F37" t="s">
        <v>16</v>
      </c>
      <c r="G37" t="s">
        <v>17</v>
      </c>
      <c r="H37" t="s">
        <v>18</v>
      </c>
    </row>
    <row r="43" spans="4:28" x14ac:dyDescent="0.25">
      <c r="G43">
        <v>12</v>
      </c>
      <c r="I43">
        <v>7</v>
      </c>
      <c r="T43">
        <v>6</v>
      </c>
      <c r="U43">
        <v>6</v>
      </c>
      <c r="Z43">
        <v>6</v>
      </c>
      <c r="AA43">
        <v>6</v>
      </c>
    </row>
    <row r="44" spans="4:28" x14ac:dyDescent="0.25">
      <c r="D44">
        <v>1</v>
      </c>
      <c r="E44" t="s">
        <v>28</v>
      </c>
      <c r="G44">
        <v>0</v>
      </c>
      <c r="H44">
        <f>LEN(E44)</f>
        <v>10</v>
      </c>
      <c r="I44">
        <f>H44*$I$20</f>
        <v>70</v>
      </c>
      <c r="J44">
        <v>2</v>
      </c>
      <c r="K44">
        <f>J44*$I$20+I44</f>
        <v>84</v>
      </c>
      <c r="M44">
        <f>I44</f>
        <v>70</v>
      </c>
      <c r="N44">
        <f>G44</f>
        <v>0</v>
      </c>
      <c r="O44">
        <f>K44</f>
        <v>84</v>
      </c>
      <c r="P44">
        <f>G45</f>
        <v>13</v>
      </c>
      <c r="Q44" s="5" t="str">
        <f>M44&amp;", "&amp;N44&amp;", "&amp;O44&amp;", "&amp;P44</f>
        <v>70, 0, 84, 13</v>
      </c>
      <c r="R44">
        <v>106</v>
      </c>
      <c r="S44">
        <f>G44+3</f>
        <v>3</v>
      </c>
      <c r="T44">
        <f>R44+$T$20</f>
        <v>112</v>
      </c>
      <c r="U44">
        <f>S44+$U$20</f>
        <v>9</v>
      </c>
      <c r="V44" s="5" t="str">
        <f>R44&amp;", "&amp;S44&amp;", "&amp;T44&amp;", "&amp;U44</f>
        <v>106, 3, 112, 9</v>
      </c>
      <c r="X44">
        <v>115</v>
      </c>
      <c r="Y44">
        <f>G44+3</f>
        <v>3</v>
      </c>
      <c r="Z44">
        <f>X44+$T$20</f>
        <v>121</v>
      </c>
      <c r="AA44">
        <f>Y44+$U$20</f>
        <v>9</v>
      </c>
      <c r="AB44" s="5" t="str">
        <f>X44&amp;", "&amp;Y44&amp;", "&amp;Z44&amp;", "&amp;AA44</f>
        <v>115, 3, 121, 9</v>
      </c>
    </row>
    <row r="45" spans="4:28" x14ac:dyDescent="0.25">
      <c r="D45">
        <v>2</v>
      </c>
      <c r="E45" t="s">
        <v>24</v>
      </c>
      <c r="G45">
        <f>G44+$G$20+1</f>
        <v>13</v>
      </c>
      <c r="H45">
        <f t="shared" ref="H45:H49" si="17">LEN(E45)</f>
        <v>13</v>
      </c>
      <c r="I45">
        <f t="shared" ref="I45:I52" si="18">H45*$I$20</f>
        <v>91</v>
      </c>
      <c r="J45">
        <v>0</v>
      </c>
      <c r="K45">
        <f t="shared" ref="K45:K53" si="19">J45*$I$20+I45</f>
        <v>91</v>
      </c>
      <c r="M45">
        <f t="shared" ref="M45:M52" si="20">I45</f>
        <v>91</v>
      </c>
      <c r="N45">
        <f t="shared" ref="N45:N52" si="21">G45</f>
        <v>13</v>
      </c>
      <c r="O45">
        <f t="shared" ref="O45:O52" si="22">K45</f>
        <v>91</v>
      </c>
      <c r="P45">
        <f t="shared" ref="P45:P51" si="23">G46</f>
        <v>26</v>
      </c>
      <c r="Q45" s="5" t="str">
        <f t="shared" ref="Q45:Q52" si="24">M45&amp;", "&amp;N45&amp;", "&amp;O45&amp;", "&amp;P45</f>
        <v>91, 13, 91, 26</v>
      </c>
      <c r="R45">
        <v>106</v>
      </c>
      <c r="S45">
        <f>G45+3</f>
        <v>16</v>
      </c>
      <c r="T45">
        <f>R45+$T$20</f>
        <v>112</v>
      </c>
      <c r="U45">
        <f>S45+$U$20</f>
        <v>22</v>
      </c>
      <c r="V45" s="5" t="str">
        <f>R45&amp;", "&amp;S45&amp;", "&amp;T45&amp;", "&amp;U45</f>
        <v>106, 16, 112, 22</v>
      </c>
      <c r="X45">
        <v>115</v>
      </c>
      <c r="Y45">
        <f>G45+3</f>
        <v>16</v>
      </c>
      <c r="Z45">
        <f>X45+$T$20</f>
        <v>121</v>
      </c>
      <c r="AA45">
        <f>Y45+$U$20</f>
        <v>22</v>
      </c>
      <c r="AB45" s="5" t="str">
        <f>X45&amp;", "&amp;Y45&amp;", "&amp;Z45&amp;", "&amp;AA45</f>
        <v>115, 16, 121, 22</v>
      </c>
    </row>
    <row r="46" spans="4:28" x14ac:dyDescent="0.25">
      <c r="D46">
        <v>3</v>
      </c>
      <c r="E46" t="s">
        <v>14</v>
      </c>
      <c r="G46">
        <f t="shared" ref="G46:G53" si="25">G45+$G$20+1</f>
        <v>26</v>
      </c>
      <c r="H46">
        <f t="shared" si="17"/>
        <v>8</v>
      </c>
      <c r="I46">
        <f t="shared" si="18"/>
        <v>56</v>
      </c>
      <c r="J46">
        <v>0</v>
      </c>
      <c r="K46">
        <f t="shared" si="19"/>
        <v>56</v>
      </c>
      <c r="M46">
        <f t="shared" si="20"/>
        <v>56</v>
      </c>
      <c r="N46">
        <f t="shared" si="21"/>
        <v>26</v>
      </c>
      <c r="O46">
        <f t="shared" si="22"/>
        <v>56</v>
      </c>
      <c r="P46">
        <f t="shared" si="23"/>
        <v>39</v>
      </c>
      <c r="Q46" s="5" t="str">
        <f t="shared" si="24"/>
        <v>56, 26, 56, 39</v>
      </c>
      <c r="R46">
        <v>106</v>
      </c>
      <c r="S46">
        <f>G46+3</f>
        <v>29</v>
      </c>
      <c r="T46">
        <f>R46+$T$20</f>
        <v>112</v>
      </c>
      <c r="U46">
        <f>S46+$U$20</f>
        <v>35</v>
      </c>
      <c r="V46" s="5" t="str">
        <f>R46&amp;", "&amp;S46&amp;", "&amp;T46&amp;", "&amp;U46</f>
        <v>106, 29, 112, 35</v>
      </c>
      <c r="X46">
        <v>115</v>
      </c>
      <c r="Y46">
        <f>G46+3</f>
        <v>29</v>
      </c>
      <c r="Z46">
        <f>X46+$T$20</f>
        <v>121</v>
      </c>
      <c r="AA46">
        <f>Y46+$U$20</f>
        <v>35</v>
      </c>
      <c r="AB46" s="5" t="str">
        <f>X46&amp;", "&amp;Y46&amp;", "&amp;Z46&amp;", "&amp;AA46</f>
        <v>115, 29, 121, 35</v>
      </c>
    </row>
    <row r="47" spans="4:28" x14ac:dyDescent="0.25">
      <c r="D47">
        <v>4</v>
      </c>
      <c r="E47" t="s">
        <v>27</v>
      </c>
      <c r="G47">
        <f t="shared" si="25"/>
        <v>39</v>
      </c>
      <c r="H47">
        <f t="shared" si="17"/>
        <v>6</v>
      </c>
      <c r="I47">
        <f t="shared" si="18"/>
        <v>42</v>
      </c>
      <c r="J47">
        <v>0</v>
      </c>
      <c r="K47">
        <f t="shared" si="19"/>
        <v>42</v>
      </c>
      <c r="M47">
        <f t="shared" si="20"/>
        <v>42</v>
      </c>
      <c r="N47">
        <f t="shared" si="21"/>
        <v>39</v>
      </c>
      <c r="O47">
        <f t="shared" si="22"/>
        <v>42</v>
      </c>
      <c r="P47">
        <f t="shared" si="23"/>
        <v>52</v>
      </c>
      <c r="Q47" s="5" t="str">
        <f t="shared" si="24"/>
        <v>42, 39, 42, 52</v>
      </c>
      <c r="R47">
        <v>106</v>
      </c>
      <c r="S47">
        <f>G47+3</f>
        <v>42</v>
      </c>
      <c r="T47">
        <f>R47+$T$20</f>
        <v>112</v>
      </c>
      <c r="U47">
        <f>S47+$U$20</f>
        <v>48</v>
      </c>
      <c r="V47" s="5" t="str">
        <f>R47&amp;", "&amp;S47&amp;", "&amp;T47&amp;", "&amp;U47</f>
        <v>106, 42, 112, 48</v>
      </c>
      <c r="X47">
        <v>115</v>
      </c>
      <c r="Y47">
        <f>G47+3</f>
        <v>42</v>
      </c>
      <c r="Z47">
        <f>X47+$T$20</f>
        <v>121</v>
      </c>
      <c r="AA47">
        <f>Y47+$U$20</f>
        <v>48</v>
      </c>
      <c r="AB47" s="5" t="str">
        <f>X47&amp;", "&amp;Y47&amp;", "&amp;Z47&amp;", "&amp;AA47</f>
        <v>115, 42, 121, 48</v>
      </c>
    </row>
    <row r="48" spans="4:28" x14ac:dyDescent="0.25">
      <c r="D48">
        <v>5</v>
      </c>
      <c r="E48" t="s">
        <v>32</v>
      </c>
      <c r="G48">
        <f t="shared" si="25"/>
        <v>52</v>
      </c>
      <c r="H48">
        <f t="shared" si="17"/>
        <v>8</v>
      </c>
      <c r="I48">
        <f t="shared" si="18"/>
        <v>56</v>
      </c>
      <c r="J48">
        <v>5</v>
      </c>
      <c r="K48">
        <f t="shared" si="19"/>
        <v>91</v>
      </c>
      <c r="M48">
        <f t="shared" si="20"/>
        <v>56</v>
      </c>
      <c r="N48">
        <f t="shared" si="21"/>
        <v>52</v>
      </c>
      <c r="O48">
        <f t="shared" si="22"/>
        <v>91</v>
      </c>
      <c r="P48">
        <f t="shared" si="23"/>
        <v>65</v>
      </c>
      <c r="Q48" s="5" t="str">
        <f t="shared" si="24"/>
        <v>56, 52, 91, 65</v>
      </c>
      <c r="R48">
        <v>106</v>
      </c>
      <c r="S48">
        <f>G48+3</f>
        <v>55</v>
      </c>
      <c r="T48">
        <f>R48+$T$20</f>
        <v>112</v>
      </c>
      <c r="U48">
        <f>S48+$U$20</f>
        <v>61</v>
      </c>
      <c r="V48" s="5" t="str">
        <f>R48&amp;", "&amp;S48&amp;", "&amp;T48&amp;", "&amp;U48</f>
        <v>106, 55, 112, 61</v>
      </c>
      <c r="X48">
        <v>115</v>
      </c>
      <c r="Y48">
        <f>G48+3</f>
        <v>55</v>
      </c>
      <c r="Z48">
        <f>X48+$T$20</f>
        <v>121</v>
      </c>
      <c r="AA48">
        <f>Y48+$U$20</f>
        <v>61</v>
      </c>
      <c r="AB48" s="5" t="str">
        <f>X48&amp;", "&amp;Y48&amp;", "&amp;Z48&amp;", "&amp;AA48</f>
        <v>115, 55, 121, 61</v>
      </c>
    </row>
    <row r="49" spans="4:17" x14ac:dyDescent="0.25">
      <c r="D49">
        <v>6</v>
      </c>
      <c r="E49" t="s">
        <v>29</v>
      </c>
      <c r="G49">
        <f t="shared" si="25"/>
        <v>65</v>
      </c>
      <c r="H49">
        <f t="shared" si="17"/>
        <v>11</v>
      </c>
      <c r="I49">
        <f t="shared" si="18"/>
        <v>77</v>
      </c>
      <c r="J49">
        <v>3</v>
      </c>
      <c r="K49">
        <f t="shared" si="19"/>
        <v>98</v>
      </c>
      <c r="M49">
        <f t="shared" si="20"/>
        <v>77</v>
      </c>
      <c r="N49">
        <f t="shared" si="21"/>
        <v>65</v>
      </c>
      <c r="O49">
        <f t="shared" si="22"/>
        <v>98</v>
      </c>
      <c r="P49">
        <f t="shared" si="23"/>
        <v>78</v>
      </c>
      <c r="Q49" s="5" t="str">
        <f t="shared" si="24"/>
        <v>77, 65, 98, 78</v>
      </c>
    </row>
    <row r="50" spans="4:17" x14ac:dyDescent="0.25">
      <c r="D50">
        <v>7</v>
      </c>
      <c r="E50" t="s">
        <v>30</v>
      </c>
      <c r="G50">
        <f t="shared" si="25"/>
        <v>78</v>
      </c>
      <c r="H50">
        <f>LEN(E50)</f>
        <v>5</v>
      </c>
      <c r="I50">
        <f t="shared" si="18"/>
        <v>35</v>
      </c>
      <c r="J50">
        <v>0</v>
      </c>
      <c r="K50">
        <f t="shared" si="19"/>
        <v>35</v>
      </c>
      <c r="M50">
        <f t="shared" si="20"/>
        <v>35</v>
      </c>
      <c r="N50">
        <f t="shared" si="21"/>
        <v>78</v>
      </c>
      <c r="O50">
        <f t="shared" si="22"/>
        <v>35</v>
      </c>
      <c r="P50">
        <f t="shared" si="23"/>
        <v>91</v>
      </c>
      <c r="Q50" s="5" t="str">
        <f t="shared" si="24"/>
        <v>35, 78, 35, 91</v>
      </c>
    </row>
    <row r="51" spans="4:17" x14ac:dyDescent="0.25">
      <c r="D51">
        <v>8</v>
      </c>
      <c r="E51" t="s">
        <v>31</v>
      </c>
      <c r="G51">
        <f t="shared" si="25"/>
        <v>91</v>
      </c>
      <c r="H51">
        <f>LEN(E51)</f>
        <v>13</v>
      </c>
      <c r="I51">
        <f t="shared" si="18"/>
        <v>91</v>
      </c>
      <c r="J51">
        <v>3</v>
      </c>
      <c r="K51">
        <f t="shared" si="19"/>
        <v>112</v>
      </c>
      <c r="M51">
        <f t="shared" si="20"/>
        <v>91</v>
      </c>
      <c r="N51">
        <f t="shared" si="21"/>
        <v>91</v>
      </c>
      <c r="O51">
        <f t="shared" si="22"/>
        <v>112</v>
      </c>
      <c r="P51">
        <f>G52</f>
        <v>104</v>
      </c>
      <c r="Q51" s="5" t="str">
        <f t="shared" si="24"/>
        <v>91, 91, 112, 104</v>
      </c>
    </row>
    <row r="52" spans="4:17" x14ac:dyDescent="0.25">
      <c r="D52">
        <v>9</v>
      </c>
      <c r="E52" t="s">
        <v>33</v>
      </c>
      <c r="G52">
        <f t="shared" si="25"/>
        <v>104</v>
      </c>
      <c r="H52">
        <f>LEN(E52)</f>
        <v>1</v>
      </c>
      <c r="I52">
        <f t="shared" si="18"/>
        <v>7</v>
      </c>
      <c r="J52">
        <v>0</v>
      </c>
      <c r="K52">
        <f t="shared" si="19"/>
        <v>7</v>
      </c>
      <c r="M52">
        <f t="shared" si="20"/>
        <v>7</v>
      </c>
      <c r="N52">
        <f t="shared" si="21"/>
        <v>104</v>
      </c>
      <c r="O52">
        <f t="shared" si="22"/>
        <v>7</v>
      </c>
      <c r="P52">
        <f>G53</f>
        <v>117</v>
      </c>
      <c r="Q52" s="5" t="str">
        <f t="shared" si="24"/>
        <v>7, 104, 7, 117</v>
      </c>
    </row>
    <row r="53" spans="4:17" x14ac:dyDescent="0.25">
      <c r="G53">
        <f t="shared" si="25"/>
        <v>117</v>
      </c>
      <c r="K53">
        <f t="shared" si="19"/>
        <v>0</v>
      </c>
    </row>
    <row r="62" spans="4:17" x14ac:dyDescent="0.25">
      <c r="L62">
        <f>128/7</f>
        <v>18.285714285714285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34"/>
  <sheetViews>
    <sheetView workbookViewId="0">
      <selection activeCell="I23" sqref="I23:I29"/>
    </sheetView>
  </sheetViews>
  <sheetFormatPr defaultRowHeight="15" x14ac:dyDescent="0.25"/>
  <cols>
    <col min="9" max="9" width="9.5703125" bestFit="1" customWidth="1"/>
    <col min="15" max="15" width="13.7109375" bestFit="1" customWidth="1"/>
  </cols>
  <sheetData>
    <row r="2" spans="2:15" x14ac:dyDescent="0.25">
      <c r="I2">
        <v>4</v>
      </c>
      <c r="J2">
        <v>0</v>
      </c>
    </row>
    <row r="3" spans="2:15" x14ac:dyDescent="0.25">
      <c r="B3">
        <v>14.02</v>
      </c>
      <c r="C3">
        <v>1353</v>
      </c>
      <c r="I3">
        <v>8</v>
      </c>
      <c r="J3">
        <v>25</v>
      </c>
    </row>
    <row r="4" spans="2:15" x14ac:dyDescent="0.25">
      <c r="B4">
        <v>15.06</v>
      </c>
      <c r="C4">
        <v>1401</v>
      </c>
      <c r="I4">
        <v>12</v>
      </c>
      <c r="J4">
        <v>50</v>
      </c>
    </row>
    <row r="5" spans="2:15" x14ac:dyDescent="0.25">
      <c r="B5">
        <v>15.95</v>
      </c>
      <c r="C5">
        <v>1442</v>
      </c>
      <c r="I5">
        <v>16</v>
      </c>
      <c r="J5">
        <v>75</v>
      </c>
    </row>
    <row r="6" spans="2:15" x14ac:dyDescent="0.25">
      <c r="B6">
        <v>16.940000000000001</v>
      </c>
      <c r="C6">
        <v>1466</v>
      </c>
      <c r="I6">
        <v>20</v>
      </c>
      <c r="J6">
        <v>100</v>
      </c>
    </row>
    <row r="7" spans="2:15" x14ac:dyDescent="0.25">
      <c r="B7">
        <v>18.04</v>
      </c>
      <c r="C7">
        <v>1492</v>
      </c>
    </row>
    <row r="8" spans="2:15" x14ac:dyDescent="0.25">
      <c r="B8">
        <v>19.04</v>
      </c>
      <c r="C8">
        <v>1512</v>
      </c>
    </row>
    <row r="9" spans="2:15" x14ac:dyDescent="0.25">
      <c r="B9">
        <v>20.05</v>
      </c>
      <c r="C9">
        <v>1535</v>
      </c>
    </row>
    <row r="10" spans="2:15" x14ac:dyDescent="0.25">
      <c r="M10" t="s">
        <v>6</v>
      </c>
      <c r="N10" s="2">
        <v>3.596E-6</v>
      </c>
      <c r="O10" s="3">
        <f>N10</f>
        <v>3.596E-6</v>
      </c>
    </row>
    <row r="11" spans="2:15" x14ac:dyDescent="0.25">
      <c r="E11" t="s">
        <v>6</v>
      </c>
      <c r="F11">
        <v>0.33022000000000001</v>
      </c>
      <c r="M11" t="s">
        <v>7</v>
      </c>
      <c r="N11">
        <v>2.3230499999999998</v>
      </c>
    </row>
    <row r="12" spans="2:15" x14ac:dyDescent="0.25">
      <c r="E12" t="s">
        <v>7</v>
      </c>
      <c r="F12">
        <v>-5.3200000000000001E-3</v>
      </c>
    </row>
    <row r="13" spans="2:15" x14ac:dyDescent="0.25">
      <c r="E13" t="s">
        <v>8</v>
      </c>
      <c r="F13">
        <v>0.53963000000000005</v>
      </c>
    </row>
    <row r="15" spans="2:15" x14ac:dyDescent="0.25">
      <c r="B15">
        <v>4.09</v>
      </c>
      <c r="C15">
        <v>244</v>
      </c>
      <c r="E15">
        <v>244</v>
      </c>
      <c r="F15">
        <f>1/($F$11+$F$12*E15^$F$13)</f>
        <v>4.4073868576649069</v>
      </c>
      <c r="G15">
        <f>6.25*F15-25</f>
        <v>2.5461678604056672</v>
      </c>
      <c r="I15" s="1">
        <f>6.25*J15-25</f>
        <v>0.5625</v>
      </c>
      <c r="J15">
        <v>4.09</v>
      </c>
      <c r="K15">
        <v>244</v>
      </c>
      <c r="M15">
        <v>244</v>
      </c>
      <c r="N15">
        <f>$N$10*(1+M15)^$N$11</f>
        <v>1.2763563851731743</v>
      </c>
      <c r="O15">
        <f>ROUND(N15,0)</f>
        <v>1</v>
      </c>
    </row>
    <row r="16" spans="2:15" x14ac:dyDescent="0.25">
      <c r="B16">
        <v>5.04</v>
      </c>
      <c r="C16">
        <v>452</v>
      </c>
      <c r="E16">
        <v>452</v>
      </c>
      <c r="F16">
        <f t="shared" ref="F16:F34" si="0">1/($F$11+$F$12*E16^$F$13)</f>
        <v>5.3732609432758434</v>
      </c>
      <c r="G16">
        <f t="shared" ref="G16:G34" si="1">6.25*F16-25</f>
        <v>8.5828808954740197</v>
      </c>
      <c r="I16" s="1">
        <f t="shared" ref="I16:I29" si="2">6.25*J16-25</f>
        <v>6.5</v>
      </c>
      <c r="J16">
        <v>5.04</v>
      </c>
      <c r="K16">
        <v>452</v>
      </c>
      <c r="M16">
        <v>452</v>
      </c>
      <c r="N16">
        <f t="shared" ref="N16:N29" si="3">$N$10*(1+M16)^$N$11</f>
        <v>5.3219233009156417</v>
      </c>
      <c r="O16">
        <f t="shared" ref="O16:O29" si="4">ROUND(N16,0)</f>
        <v>5</v>
      </c>
    </row>
    <row r="17" spans="2:15" x14ac:dyDescent="0.25">
      <c r="B17">
        <v>6.04</v>
      </c>
      <c r="C17">
        <v>602</v>
      </c>
      <c r="E17">
        <v>602</v>
      </c>
      <c r="F17">
        <f t="shared" si="0"/>
        <v>6.1726573593310041</v>
      </c>
      <c r="G17">
        <f t="shared" si="1"/>
        <v>13.579108495818772</v>
      </c>
      <c r="I17" s="1">
        <f t="shared" si="2"/>
        <v>12.75</v>
      </c>
      <c r="J17">
        <v>6.04</v>
      </c>
      <c r="K17">
        <v>602</v>
      </c>
      <c r="M17">
        <v>602</v>
      </c>
      <c r="N17">
        <f t="shared" si="3"/>
        <v>10.342744945866571</v>
      </c>
      <c r="O17">
        <f t="shared" si="4"/>
        <v>10</v>
      </c>
    </row>
    <row r="18" spans="2:15" x14ac:dyDescent="0.25">
      <c r="B18">
        <v>7.09</v>
      </c>
      <c r="C18">
        <v>720</v>
      </c>
      <c r="E18">
        <v>720</v>
      </c>
      <c r="F18">
        <f t="shared" si="0"/>
        <v>6.899110685237785</v>
      </c>
      <c r="G18">
        <f t="shared" si="1"/>
        <v>18.119441782736153</v>
      </c>
      <c r="I18" s="1">
        <f t="shared" si="2"/>
        <v>19.3125</v>
      </c>
      <c r="J18">
        <v>7.09</v>
      </c>
      <c r="K18">
        <v>720</v>
      </c>
      <c r="M18">
        <v>720</v>
      </c>
      <c r="N18">
        <f t="shared" si="3"/>
        <v>15.665569936132488</v>
      </c>
      <c r="O18">
        <f t="shared" si="4"/>
        <v>16</v>
      </c>
    </row>
    <row r="19" spans="2:15" x14ac:dyDescent="0.25">
      <c r="B19">
        <v>8.0399999999999991</v>
      </c>
      <c r="C19">
        <v>826</v>
      </c>
      <c r="E19">
        <v>826</v>
      </c>
      <c r="F19">
        <f t="shared" si="0"/>
        <v>7.6515165863061494</v>
      </c>
      <c r="G19">
        <f t="shared" si="1"/>
        <v>22.821978664413436</v>
      </c>
      <c r="I19" s="1">
        <f t="shared" si="2"/>
        <v>25.249999999999993</v>
      </c>
      <c r="J19">
        <v>8.0399999999999991</v>
      </c>
      <c r="K19">
        <v>826</v>
      </c>
      <c r="M19">
        <v>826</v>
      </c>
      <c r="N19">
        <f t="shared" si="3"/>
        <v>21.544224056838765</v>
      </c>
      <c r="O19">
        <f t="shared" si="4"/>
        <v>22</v>
      </c>
    </row>
    <row r="20" spans="2:15" x14ac:dyDescent="0.25">
      <c r="B20">
        <v>9.0399999999999991</v>
      </c>
      <c r="C20">
        <v>933</v>
      </c>
      <c r="E20">
        <v>933</v>
      </c>
      <c r="F20">
        <f t="shared" si="0"/>
        <v>8.5370144017618603</v>
      </c>
      <c r="G20">
        <f t="shared" si="1"/>
        <v>28.356340011011625</v>
      </c>
      <c r="I20" s="1">
        <f t="shared" si="2"/>
        <v>31.499999999999993</v>
      </c>
      <c r="J20">
        <v>9.0399999999999991</v>
      </c>
      <c r="K20">
        <v>933</v>
      </c>
      <c r="M20">
        <v>933</v>
      </c>
      <c r="N20">
        <f t="shared" si="3"/>
        <v>28.581432636153888</v>
      </c>
      <c r="O20">
        <f t="shared" si="4"/>
        <v>29</v>
      </c>
    </row>
    <row r="21" spans="2:15" x14ac:dyDescent="0.25">
      <c r="B21">
        <v>10.01</v>
      </c>
      <c r="C21">
        <v>1039</v>
      </c>
      <c r="E21">
        <v>1039</v>
      </c>
      <c r="F21">
        <f t="shared" si="0"/>
        <v>9.5788053657499859</v>
      </c>
      <c r="G21">
        <f t="shared" si="1"/>
        <v>34.867533535937412</v>
      </c>
      <c r="I21" s="1">
        <f t="shared" si="2"/>
        <v>37.5625</v>
      </c>
      <c r="J21">
        <v>10.01</v>
      </c>
      <c r="K21">
        <v>1039</v>
      </c>
      <c r="M21">
        <v>1039</v>
      </c>
      <c r="N21">
        <f t="shared" si="3"/>
        <v>36.689262494681223</v>
      </c>
      <c r="O21">
        <f t="shared" si="4"/>
        <v>37</v>
      </c>
    </row>
    <row r="22" spans="2:15" x14ac:dyDescent="0.25">
      <c r="B22">
        <v>11.17</v>
      </c>
      <c r="C22">
        <v>1150</v>
      </c>
      <c r="E22">
        <v>1150</v>
      </c>
      <c r="F22">
        <f t="shared" si="0"/>
        <v>10.907164110090131</v>
      </c>
      <c r="G22">
        <f t="shared" si="1"/>
        <v>43.169775688063311</v>
      </c>
      <c r="I22" s="1">
        <f t="shared" si="2"/>
        <v>44.8125</v>
      </c>
      <c r="J22">
        <v>11.17</v>
      </c>
      <c r="K22">
        <v>1150</v>
      </c>
      <c r="M22">
        <v>1150</v>
      </c>
      <c r="N22">
        <f t="shared" si="3"/>
        <v>46.435562804827811</v>
      </c>
      <c r="O22">
        <f t="shared" si="4"/>
        <v>46</v>
      </c>
    </row>
    <row r="23" spans="2:15" x14ac:dyDescent="0.25">
      <c r="B23">
        <v>12.16</v>
      </c>
      <c r="C23">
        <v>1228</v>
      </c>
      <c r="E23">
        <v>1228</v>
      </c>
      <c r="F23">
        <f t="shared" si="0"/>
        <v>12.035989804036365</v>
      </c>
      <c r="G23">
        <f t="shared" si="1"/>
        <v>50.224936275227279</v>
      </c>
      <c r="I23" s="1">
        <f t="shared" si="2"/>
        <v>51</v>
      </c>
      <c r="J23">
        <v>12.16</v>
      </c>
      <c r="K23">
        <v>1228</v>
      </c>
      <c r="M23">
        <v>1228</v>
      </c>
      <c r="N23">
        <f t="shared" si="3"/>
        <v>54.07582882108774</v>
      </c>
      <c r="O23">
        <f t="shared" si="4"/>
        <v>54</v>
      </c>
    </row>
    <row r="24" spans="2:15" x14ac:dyDescent="0.25">
      <c r="B24">
        <v>13.1</v>
      </c>
      <c r="C24">
        <v>1301</v>
      </c>
      <c r="E24">
        <v>1301</v>
      </c>
      <c r="F24">
        <f t="shared" si="0"/>
        <v>13.286963940774971</v>
      </c>
      <c r="G24">
        <f t="shared" si="1"/>
        <v>58.043524629843574</v>
      </c>
      <c r="I24" s="1">
        <f t="shared" si="2"/>
        <v>56.875</v>
      </c>
      <c r="J24">
        <v>13.1</v>
      </c>
      <c r="K24">
        <v>1301</v>
      </c>
      <c r="M24">
        <v>1301</v>
      </c>
      <c r="N24">
        <f t="shared" si="3"/>
        <v>61.832489153212705</v>
      </c>
      <c r="O24">
        <f t="shared" si="4"/>
        <v>62</v>
      </c>
    </row>
    <row r="25" spans="2:15" x14ac:dyDescent="0.25">
      <c r="B25">
        <v>14.12</v>
      </c>
      <c r="C25">
        <v>1350</v>
      </c>
      <c r="E25">
        <v>1350</v>
      </c>
      <c r="F25">
        <f t="shared" si="0"/>
        <v>14.260449322586005</v>
      </c>
      <c r="G25">
        <f t="shared" si="1"/>
        <v>64.127808266162532</v>
      </c>
      <c r="I25" s="1">
        <f t="shared" si="2"/>
        <v>63.25</v>
      </c>
      <c r="J25">
        <v>14.12</v>
      </c>
      <c r="K25">
        <v>1350</v>
      </c>
      <c r="M25">
        <v>1350</v>
      </c>
      <c r="N25">
        <f t="shared" si="3"/>
        <v>67.37341970518959</v>
      </c>
      <c r="O25">
        <f t="shared" si="4"/>
        <v>67</v>
      </c>
    </row>
    <row r="26" spans="2:15" x14ac:dyDescent="0.25">
      <c r="B26">
        <v>15.54</v>
      </c>
      <c r="C26">
        <v>1425</v>
      </c>
      <c r="E26">
        <v>1425</v>
      </c>
      <c r="F26">
        <f t="shared" si="0"/>
        <v>16.019584405337135</v>
      </c>
      <c r="G26">
        <f t="shared" si="1"/>
        <v>75.122402533357089</v>
      </c>
      <c r="I26" s="1">
        <f t="shared" si="2"/>
        <v>72.125</v>
      </c>
      <c r="J26">
        <v>15.54</v>
      </c>
      <c r="K26">
        <v>1425</v>
      </c>
      <c r="M26">
        <v>1425</v>
      </c>
      <c r="N26">
        <f t="shared" si="3"/>
        <v>76.383058953533549</v>
      </c>
      <c r="O26">
        <f t="shared" si="4"/>
        <v>76</v>
      </c>
    </row>
    <row r="27" spans="2:15" x14ac:dyDescent="0.25">
      <c r="B27">
        <v>16.77</v>
      </c>
      <c r="C27">
        <v>1465</v>
      </c>
      <c r="E27">
        <v>1465</v>
      </c>
      <c r="F27">
        <f t="shared" si="0"/>
        <v>17.125339928674652</v>
      </c>
      <c r="G27">
        <f t="shared" si="1"/>
        <v>82.033374554216579</v>
      </c>
      <c r="I27" s="1">
        <f t="shared" si="2"/>
        <v>79.8125</v>
      </c>
      <c r="J27">
        <v>16.77</v>
      </c>
      <c r="K27">
        <v>1465</v>
      </c>
      <c r="M27">
        <v>1465</v>
      </c>
      <c r="N27">
        <f t="shared" si="3"/>
        <v>81.45302219027522</v>
      </c>
      <c r="O27">
        <f t="shared" si="4"/>
        <v>81</v>
      </c>
    </row>
    <row r="28" spans="2:15" x14ac:dyDescent="0.25">
      <c r="B28">
        <v>17.41</v>
      </c>
      <c r="C28">
        <v>1482</v>
      </c>
      <c r="E28">
        <v>1353</v>
      </c>
      <c r="F28">
        <f t="shared" si="0"/>
        <v>14.324128385263084</v>
      </c>
      <c r="G28">
        <f t="shared" si="1"/>
        <v>64.525802407894275</v>
      </c>
      <c r="I28" s="1">
        <f t="shared" si="2"/>
        <v>83.8125</v>
      </c>
      <c r="J28">
        <v>17.41</v>
      </c>
      <c r="K28">
        <v>1482</v>
      </c>
      <c r="M28">
        <v>1482</v>
      </c>
      <c r="N28">
        <f t="shared" si="3"/>
        <v>83.664098146534243</v>
      </c>
      <c r="O28">
        <f t="shared" si="4"/>
        <v>84</v>
      </c>
    </row>
    <row r="29" spans="2:15" x14ac:dyDescent="0.25">
      <c r="E29">
        <v>1401</v>
      </c>
      <c r="F29">
        <f t="shared" si="0"/>
        <v>15.416165207268993</v>
      </c>
      <c r="G29">
        <f t="shared" si="1"/>
        <v>71.35103254543121</v>
      </c>
      <c r="I29" s="1">
        <f t="shared" si="2"/>
        <v>101.8125</v>
      </c>
      <c r="J29">
        <v>20.29</v>
      </c>
      <c r="K29">
        <v>1536</v>
      </c>
      <c r="M29">
        <v>1536</v>
      </c>
      <c r="N29">
        <f t="shared" si="3"/>
        <v>90.912250972073338</v>
      </c>
      <c r="O29">
        <f t="shared" si="4"/>
        <v>91</v>
      </c>
    </row>
    <row r="30" spans="2:15" x14ac:dyDescent="0.25">
      <c r="B30">
        <v>20.29</v>
      </c>
      <c r="C30">
        <v>1536</v>
      </c>
      <c r="E30">
        <v>1442</v>
      </c>
      <c r="F30">
        <f t="shared" si="0"/>
        <v>16.473295368034645</v>
      </c>
      <c r="G30">
        <f t="shared" si="1"/>
        <v>77.958096050216525</v>
      </c>
    </row>
    <row r="31" spans="2:15" x14ac:dyDescent="0.25">
      <c r="E31">
        <v>1466</v>
      </c>
      <c r="F31">
        <f t="shared" si="0"/>
        <v>17.15475070188737</v>
      </c>
      <c r="G31">
        <f t="shared" si="1"/>
        <v>82.217191886796058</v>
      </c>
    </row>
    <row r="32" spans="2:15" x14ac:dyDescent="0.25">
      <c r="E32">
        <v>1492</v>
      </c>
      <c r="F32">
        <f t="shared" si="0"/>
        <v>17.953018224409572</v>
      </c>
      <c r="G32">
        <f t="shared" si="1"/>
        <v>87.206363902559829</v>
      </c>
    </row>
    <row r="33" spans="5:7" x14ac:dyDescent="0.25">
      <c r="E33">
        <v>1512</v>
      </c>
      <c r="F33">
        <f t="shared" si="0"/>
        <v>18.614606287298372</v>
      </c>
      <c r="G33">
        <f t="shared" si="1"/>
        <v>91.341289295614828</v>
      </c>
    </row>
    <row r="34" spans="5:7" x14ac:dyDescent="0.25">
      <c r="E34">
        <v>1535</v>
      </c>
      <c r="F34">
        <f t="shared" si="0"/>
        <v>19.432772942190283</v>
      </c>
      <c r="G34">
        <f t="shared" si="1"/>
        <v>96.454830888689273</v>
      </c>
    </row>
  </sheetData>
  <sortState xmlns:xlrd2="http://schemas.microsoft.com/office/spreadsheetml/2017/richdata2" ref="B3:C9">
    <sortCondition ref="B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TMT-05</dc:creator>
  <cp:lastModifiedBy>Антон Бяков R9HBB</cp:lastModifiedBy>
  <dcterms:created xsi:type="dcterms:W3CDTF">2024-04-26T03:08:05Z</dcterms:created>
  <dcterms:modified xsi:type="dcterms:W3CDTF">2024-12-06T09:53:10Z</dcterms:modified>
</cp:coreProperties>
</file>